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ush\Downloads\"/>
    </mc:Choice>
  </mc:AlternateContent>
  <xr:revisionPtr revIDLastSave="0" documentId="13_ncr:1_{07322711-2FB0-400B-99FA-827EEB9BC2AB}" xr6:coauthVersionLast="47" xr6:coauthVersionMax="47" xr10:uidLastSave="{00000000-0000-0000-0000-000000000000}"/>
  <bookViews>
    <workbookView xWindow="-110" yWindow="-110" windowWidth="19420" windowHeight="10300" tabRatio="500" firstSheet="2" activeTab="2" xr2:uid="{00000000-000D-0000-FFFF-FFFF00000000}"/>
  </bookViews>
  <sheets>
    <sheet name="README" sheetId="1" r:id="rId1"/>
    <sheet name="Test Scenarios" sheetId="2" r:id="rId2"/>
    <sheet name="Test Cases" sheetId="3" r:id="rId3"/>
    <sheet name="Bug Report" sheetId="4" r:id="rId4"/>
    <sheet name="RTM" sheetId="5" r:id="rId5"/>
    <sheet name="Test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5" i="6" l="1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B16" i="6"/>
  <c r="B13" i="6"/>
  <c r="B12" i="6"/>
  <c r="B11" i="6"/>
  <c r="B10" i="6"/>
  <c r="H6" i="5"/>
  <c r="G6" i="5"/>
  <c r="F6" i="5"/>
  <c r="E6" i="5"/>
  <c r="G5" i="5"/>
  <c r="F5" i="5"/>
  <c r="E5" i="5"/>
  <c r="H5" i="5" s="1"/>
  <c r="H4" i="5"/>
  <c r="G4" i="5"/>
  <c r="F4" i="5"/>
  <c r="E4" i="5"/>
  <c r="H3" i="5"/>
  <c r="G3" i="5"/>
  <c r="F3" i="5"/>
  <c r="E3" i="5"/>
  <c r="G2" i="5"/>
  <c r="F2" i="5"/>
  <c r="E2" i="5"/>
  <c r="H2" i="5" s="1"/>
  <c r="B15" i="6" l="1"/>
  <c r="F25" i="6"/>
  <c r="F21" i="6"/>
  <c r="B14" i="6"/>
  <c r="F23" i="6"/>
  <c r="F22" i="6"/>
  <c r="F24" i="6"/>
</calcChain>
</file>

<file path=xl/sharedStrings.xml><?xml version="1.0" encoding="utf-8"?>
<sst xmlns="http://schemas.openxmlformats.org/spreadsheetml/2006/main" count="581" uniqueCount="319">
  <si>
    <t>MANUAL TESTING PROJECT - Sauce Demo (practice e-commerce web application)</t>
  </si>
  <si>
    <t>Application under test: https://www.saucedemo.com (public practice site made for testing). Login details are shown on its own login page.</t>
  </si>
  <si>
    <t>HOW TO USE THIS WORKBOOK (yellow cells are for YOU to fill in)</t>
  </si>
  <si>
    <t>1. Open the site in a browser. Go to the 'Test Cases' sheet and execute each test case step by step.</t>
  </si>
  <si>
    <t>2. For every test case, write what REALLY happened in 'Actual Result' and choose Pass / Fail / Blocked in 'Status'.</t>
  </si>
  <si>
    <t>3. If a test case fails, log it in the 'Bug Report' sheet (take a screenshot) and put the Bug ID in the Test Cases sheet.</t>
  </si>
  <si>
    <t>4. Fill the Environment cells (browser, OS, date) in the 'Test Summary' sheet. Pass/Fail counts there update automatically.</t>
  </si>
  <si>
    <t>5. The 'RTM' sheet maps requirements to test cases and updates automatically.</t>
  </si>
  <si>
    <t>IMPORTANT NOTES</t>
  </si>
  <si>
    <t>- The Expected Results were written from standard shopping-site behaviour. Verify each one on the live site; if the site's real behaviour is different, adjust the expected result with a reason.</t>
  </si>
  <si>
    <t>- Only record results you actually observed. Do not pre-fill Pass/Fail. Interviewers may ask you to explain any bug on this list.</t>
  </si>
  <si>
    <t>- The site has intentionally faulty practice accounts (for example problem_user and performance_glitch_user). Test cases TC-30 to TC-32 use them, so you are likely to find real defects there.</t>
  </si>
  <si>
    <t>- Save screenshots in a folder and upload this workbook plus screenshots to GitHub for your CV link.</t>
  </si>
  <si>
    <t>Scenario ID</t>
  </si>
  <si>
    <t>Requirement ID</t>
  </si>
  <si>
    <t>Module</t>
  </si>
  <si>
    <t>Test Scenario</t>
  </si>
  <si>
    <t>SC-01</t>
  </si>
  <si>
    <t>REQ-01</t>
  </si>
  <si>
    <t>Login</t>
  </si>
  <si>
    <t>Verify a user can log in with valid credentials</t>
  </si>
  <si>
    <t>SC-02</t>
  </si>
  <si>
    <t>Verify the application handles invalid and blank login attempts correctly</t>
  </si>
  <si>
    <t>SC-03</t>
  </si>
  <si>
    <t>REQ-02</t>
  </si>
  <si>
    <t>Products</t>
  </si>
  <si>
    <t>Verify the product list and product details are displayed correctly</t>
  </si>
  <si>
    <t>SC-04</t>
  </si>
  <si>
    <t>Verify products can be sorted by name and price</t>
  </si>
  <si>
    <t>SC-05</t>
  </si>
  <si>
    <t>REQ-03</t>
  </si>
  <si>
    <t>Cart</t>
  </si>
  <si>
    <t>Verify items can be added to and removed from the cart</t>
  </si>
  <si>
    <t>SC-06</t>
  </si>
  <si>
    <t>Verify cart contents are shown correctly and are kept while browsing</t>
  </si>
  <si>
    <t>SC-07</t>
  </si>
  <si>
    <t>REQ-04</t>
  </si>
  <si>
    <t>Checkout</t>
  </si>
  <si>
    <t>Verify checkout form validation for mandatory fields</t>
  </si>
  <si>
    <t>SC-08</t>
  </si>
  <si>
    <t>Verify an order can be completed and totals are correct</t>
  </si>
  <si>
    <t>SC-09</t>
  </si>
  <si>
    <t>REQ-05</t>
  </si>
  <si>
    <t>Logout &amp; Session</t>
  </si>
  <si>
    <t>Verify a user can log out and the session ends</t>
  </si>
  <si>
    <t>SC-10</t>
  </si>
  <si>
    <t>Verify pages cannot be accessed without logging in</t>
  </si>
  <si>
    <t>TC ID</t>
  </si>
  <si>
    <t>Test Case Title</t>
  </si>
  <si>
    <t>Priority</t>
  </si>
  <si>
    <t>Type</t>
  </si>
  <si>
    <t>Preconditions</t>
  </si>
  <si>
    <t>Test Steps</t>
  </si>
  <si>
    <t>Test Data</t>
  </si>
  <si>
    <t>Expected Result</t>
  </si>
  <si>
    <t>Actual Result (fill in)</t>
  </si>
  <si>
    <t>Status (fill in)</t>
  </si>
  <si>
    <t>Bug ID (if failed)</t>
  </si>
  <si>
    <t>TC-01</t>
  </si>
  <si>
    <t>Login with valid username and password</t>
  </si>
  <si>
    <t>High</t>
  </si>
  <si>
    <t>Functional</t>
  </si>
  <si>
    <t>Login page is open</t>
  </si>
  <si>
    <t>1. Enter username
2. Enter password
3. Click Login</t>
  </si>
  <si>
    <t>standard_user / secret_sauce</t>
  </si>
  <si>
    <t>User is taken to the Products page</t>
  </si>
  <si>
    <t>TC-02</t>
  </si>
  <si>
    <t>Login by pressing Enter key</t>
  </si>
  <si>
    <t>Low</t>
  </si>
  <si>
    <t>1. Enter username and password
2. Press Enter instead of clicking Login</t>
  </si>
  <si>
    <t>User is logged in and sees the Products page</t>
  </si>
  <si>
    <t>TC-03</t>
  </si>
  <si>
    <t>Login with wrong password</t>
  </si>
  <si>
    <t>Negative</t>
  </si>
  <si>
    <t>1. Enter valid username
2. Enter wrong password
3. Click Login</t>
  </si>
  <si>
    <t>standard_user / wrong123</t>
  </si>
  <si>
    <t>Error message is shown, user stays on the login page</t>
  </si>
  <si>
    <t>TC-04</t>
  </si>
  <si>
    <t>Login with unregistered username</t>
  </si>
  <si>
    <t>1. Enter unknown username
2. Enter any password
3. Click Login</t>
  </si>
  <si>
    <t>abc_user / secret_sauce</t>
  </si>
  <si>
    <t>TC-05</t>
  </si>
  <si>
    <t>Login with both fields empty</t>
  </si>
  <si>
    <t>Medium</t>
  </si>
  <si>
    <t>1. Leave both fields empty
2. Click Login</t>
  </si>
  <si>
    <t>(blank)</t>
  </si>
  <si>
    <t>Error message says username is required</t>
  </si>
  <si>
    <t>TC-06</t>
  </si>
  <si>
    <t>Login with password empty</t>
  </si>
  <si>
    <t>1. Enter valid username
2. Leave password empty
3. Click Login</t>
  </si>
  <si>
    <t>standard_user / (blank)</t>
  </si>
  <si>
    <t>Error message says password is required</t>
  </si>
  <si>
    <t>TC-07</t>
  </si>
  <si>
    <t>Login with a locked out user</t>
  </si>
  <si>
    <t>1. Enter locked-out username and its password
2. Click Login</t>
  </si>
  <si>
    <t>locked_out_user / secret_sauce</t>
  </si>
  <si>
    <t>Error message says the user is locked out; login is not allowed</t>
  </si>
  <si>
    <t>TC-08</t>
  </si>
  <si>
    <t>Username is case sensitive</t>
  </si>
  <si>
    <t>1. Enter username in capital letters
2. Enter valid password
3. Click Login</t>
  </si>
  <si>
    <t>STANDARD_USER / secret_sauce</t>
  </si>
  <si>
    <t>TC-09</t>
  </si>
  <si>
    <t>Product list shows all product details</t>
  </si>
  <si>
    <t>UI</t>
  </si>
  <si>
    <t>Logged in as standard_user</t>
  </si>
  <si>
    <t>1. Open the Products page
2. Check each product card</t>
  </si>
  <si>
    <t>Each product shows image, name, description, price and an Add to cart button</t>
  </si>
  <si>
    <t>TC-10</t>
  </si>
  <si>
    <t>Open product details page</t>
  </si>
  <si>
    <t>1. Click a product name
2. Compare details with the list page</t>
  </si>
  <si>
    <t>Details page opens and name, description and price match the list page</t>
  </si>
  <si>
    <t>TC-11</t>
  </si>
  <si>
    <t>Back to products from details page</t>
  </si>
  <si>
    <t>Product details page is open</t>
  </si>
  <si>
    <t>1. Click Back to products</t>
  </si>
  <si>
    <t>User returns to the Products page</t>
  </si>
  <si>
    <t>TC-12</t>
  </si>
  <si>
    <t>Sort by Name (A to Z)</t>
  </si>
  <si>
    <t>1. Select 'Name (A to Z)' in the sort dropdown</t>
  </si>
  <si>
    <t>Products are listed in ascending alphabetical order</t>
  </si>
  <si>
    <t>TC-13</t>
  </si>
  <si>
    <t>Sort by Name (Z to A)</t>
  </si>
  <si>
    <t>1. Select 'Name (Z to A)' in the sort dropdown</t>
  </si>
  <si>
    <t>Products are listed in descending alphabetical order</t>
  </si>
  <si>
    <t>TC-14</t>
  </si>
  <si>
    <t>Sort by Price (low to high)</t>
  </si>
  <si>
    <t>1. Select 'Price (low to high)'</t>
  </si>
  <si>
    <t>Products are listed from lowest to highest price</t>
  </si>
  <si>
    <t>TC-15</t>
  </si>
  <si>
    <t>Sort by Price (high to low)</t>
  </si>
  <si>
    <t>1. Select 'Price (high to low)'</t>
  </si>
  <si>
    <t>Products are listed from highest to lowest price</t>
  </si>
  <si>
    <t>TC-16</t>
  </si>
  <si>
    <t>Add one product to cart</t>
  </si>
  <si>
    <t>1. Click Add to cart on one product</t>
  </si>
  <si>
    <t>Cart badge shows 1 and the button changes to Remove</t>
  </si>
  <si>
    <t>TC-17</t>
  </si>
  <si>
    <t>Add multiple products to cart</t>
  </si>
  <si>
    <t>1. Click Add to cart on three products</t>
  </si>
  <si>
    <t>Cart badge shows 3</t>
  </si>
  <si>
    <t>TC-18</t>
  </si>
  <si>
    <t>Remove product from the Products page</t>
  </si>
  <si>
    <t>Two products are in the cart</t>
  </si>
  <si>
    <t>1. Click Remove on one product</t>
  </si>
  <si>
    <t>Cart badge count decreases by 1 and button changes back to Add to cart</t>
  </si>
  <si>
    <t>TC-19</t>
  </si>
  <si>
    <t>Cart page shows correct items</t>
  </si>
  <si>
    <t>1. Click the cart icon
2. Check name, price and quantity</t>
  </si>
  <si>
    <t>Both products are listed with correct name, price and quantity</t>
  </si>
  <si>
    <t>TC-20</t>
  </si>
  <si>
    <t>Remove product from the cart page</t>
  </si>
  <si>
    <t>Cart page is open with items</t>
  </si>
  <si>
    <t>1. Click Remove on one item</t>
  </si>
  <si>
    <t>Item is removed from the list and the cart badge updates</t>
  </si>
  <si>
    <t>TC-21</t>
  </si>
  <si>
    <t>Cart keeps items after Continue Shopping</t>
  </si>
  <si>
    <t>1. Click Continue Shopping
2. Open the cart again</t>
  </si>
  <si>
    <t>Previously added items are still in the cart</t>
  </si>
  <si>
    <t>TC-22</t>
  </si>
  <si>
    <t>Checkout with First Name empty</t>
  </si>
  <si>
    <t>Cart has items, checkout form is open</t>
  </si>
  <si>
    <t>1. Leave First Name empty
2. Fill other fields
3. Click Continue</t>
  </si>
  <si>
    <t>Last: Dhole, Zip: 400001</t>
  </si>
  <si>
    <t>Error message says First Name is required</t>
  </si>
  <si>
    <t>TC-23</t>
  </si>
  <si>
    <t>Checkout with Last Name empty</t>
  </si>
  <si>
    <t>1. Leave Last Name empty
2. Fill other fields
3. Click Continue</t>
  </si>
  <si>
    <t>First: Sudhanshu, Zip: 400001</t>
  </si>
  <si>
    <t>Error message says Last Name is required</t>
  </si>
  <si>
    <t>TC-24</t>
  </si>
  <si>
    <t>Checkout with Postal Code empty</t>
  </si>
  <si>
    <t>1. Leave Postal Code empty
2. Fill other fields
3. Click Continue</t>
  </si>
  <si>
    <t>First: Sudhanshu, Last: Dhole</t>
  </si>
  <si>
    <t>Error message says Postal Code is required</t>
  </si>
  <si>
    <t>TC-25</t>
  </si>
  <si>
    <t>Order overview totals are correct</t>
  </si>
  <si>
    <t>Valid checkout details entered</t>
  </si>
  <si>
    <t>1. Continue to the Overview page
2. Add item prices manually
3. Compare with Item total, Tax and Total</t>
  </si>
  <si>
    <t>Any two products</t>
  </si>
  <si>
    <t>Item total equals the sum of prices and Total equals Item total plus Tax</t>
  </si>
  <si>
    <t>TC-26</t>
  </si>
  <si>
    <t>Complete an order successfully</t>
  </si>
  <si>
    <t>Overview page is open</t>
  </si>
  <si>
    <t>1. Click Finish</t>
  </si>
  <si>
    <t>Any product</t>
  </si>
  <si>
    <t>Confirmation message 'Thank you for your order' is shown and the cart is emptied</t>
  </si>
  <si>
    <t>TC-27</t>
  </si>
  <si>
    <t>Logout from the menu</t>
  </si>
  <si>
    <t>1. Open the menu
2. Click Logout</t>
  </si>
  <si>
    <t>User is taken to the login page</t>
  </si>
  <si>
    <t>TC-28</t>
  </si>
  <si>
    <t>Browser Back button after logout</t>
  </si>
  <si>
    <t>Security</t>
  </si>
  <si>
    <t>User has just logged out</t>
  </si>
  <si>
    <t>1. Click the browser Back button</t>
  </si>
  <si>
    <t>User cannot see the Products page without logging in again</t>
  </si>
  <si>
    <t>TC-29</t>
  </si>
  <si>
    <t>Open Products URL directly without login</t>
  </si>
  <si>
    <t>User is not logged in</t>
  </si>
  <si>
    <t>1. Paste the inventory page URL in the address bar</t>
  </si>
  <si>
    <t>(no login)</t>
  </si>
  <si>
    <t>Access is denied with an error message or user is sent to the login page</t>
  </si>
  <si>
    <t>TC-30</t>
  </si>
  <si>
    <t>Product images match product names (problem_user)</t>
  </si>
  <si>
    <t>1. Login as problem_user
2. Check the image of each product</t>
  </si>
  <si>
    <t>problem_user / secret_sauce</t>
  </si>
  <si>
    <t>Every product shows its own correct image</t>
  </si>
  <si>
    <t>TC-31</t>
  </si>
  <si>
    <t>Checkout form accepts typed data (problem_user)</t>
  </si>
  <si>
    <t>Logged in as problem_user, item in cart</t>
  </si>
  <si>
    <t>1. Go to checkout
2. Type First Name, Last Name and Postal Code
3. Check each field</t>
  </si>
  <si>
    <t>Each field keeps exactly what was typed and checkout can continue</t>
  </si>
  <si>
    <t>TC-32</t>
  </si>
  <si>
    <t>Login speed (performance_glitch_user)</t>
  </si>
  <si>
    <t>Performance</t>
  </si>
  <si>
    <t>1. Login as performance_glitch_user
2. Note the time taken to reach the Products page</t>
  </si>
  <si>
    <t>performance_glitch_user / secret_sauce</t>
  </si>
  <si>
    <t>Products page loads within 3 seconds (assumed acceptable limit)</t>
  </si>
  <si>
    <t>Bug ID</t>
  </si>
  <si>
    <t>Bug Title</t>
  </si>
  <si>
    <t>Related TC</t>
  </si>
  <si>
    <t>Steps to Reproduce</t>
  </si>
  <si>
    <t>Actual Result</t>
  </si>
  <si>
    <t>Severity</t>
  </si>
  <si>
    <t>Status</t>
  </si>
  <si>
    <t>Environment</t>
  </si>
  <si>
    <t>Date Reported</t>
  </si>
  <si>
    <t>Screenshot File</t>
  </si>
  <si>
    <t>New</t>
  </si>
  <si>
    <t>Chrome, Windows 11</t>
  </si>
  <si>
    <t>Requirement</t>
  </si>
  <si>
    <t>Scenario IDs</t>
  </si>
  <si>
    <t>Total Test Cases</t>
  </si>
  <si>
    <t>Passed</t>
  </si>
  <si>
    <t>Failed</t>
  </si>
  <si>
    <t>Coverage</t>
  </si>
  <si>
    <t>User shall be able to log in with valid credentials and see proper errors for invalid ones</t>
  </si>
  <si>
    <t>SC-01, SC-02</t>
  </si>
  <si>
    <t>User shall be able to view, open and sort products</t>
  </si>
  <si>
    <t>SC-03, SC-04</t>
  </si>
  <si>
    <t>User shall be able to add, view and remove items in the cart</t>
  </si>
  <si>
    <t>SC-05, SC-06</t>
  </si>
  <si>
    <t>User shall be able to enter details, review totals and complete an order</t>
  </si>
  <si>
    <t>SC-07, SC-08</t>
  </si>
  <si>
    <t>User shall be able to log out and protected pages shall need login</t>
  </si>
  <si>
    <t>SC-09, SC-10</t>
  </si>
  <si>
    <t>TEST SUMMARY REPORT</t>
  </si>
  <si>
    <t>Application</t>
  </si>
  <si>
    <t>Sauce Demo (https://www.saucedemo.com)</t>
  </si>
  <si>
    <t>Tested by</t>
  </si>
  <si>
    <t>Sudhanshu Dhole</t>
  </si>
  <si>
    <t>Browser and version</t>
  </si>
  <si>
    <t>Operating system</t>
  </si>
  <si>
    <t>Test execution date</t>
  </si>
  <si>
    <t>RESULTS</t>
  </si>
  <si>
    <t>Total test cases</t>
  </si>
  <si>
    <t>Blocked</t>
  </si>
  <si>
    <t>Not executed</t>
  </si>
  <si>
    <t>Pass % (of executed)</t>
  </si>
  <si>
    <t>Defects logged</t>
  </si>
  <si>
    <t>MODULE-WISE RESULTS</t>
  </si>
  <si>
    <t>Total</t>
  </si>
  <si>
    <t>Overall conclusion (write after execution):</t>
  </si>
  <si>
    <t>Pass</t>
  </si>
  <si>
    <t>Fail</t>
  </si>
  <si>
    <t>Logged in as problem_user. All products show the same image instead of their own correct images.</t>
  </si>
  <si>
    <t>Last Name text does not stay in its field and replaces the First Name; checkout cannot continue</t>
  </si>
  <si>
    <t>Logged in with standard_user / secret_sauce. User was taken to the Products page showing the product list.</t>
  </si>
  <si>
    <t>Entered username and password and pressed Enter key. User was logged in and the Products page was shown.</t>
  </si>
  <si>
    <t>Error message shown: "Epic sadface: Username is required". User stayed on the login page.</t>
  </si>
  <si>
    <t>Error message shown: "Epic sadface: Password is required". User stayed on the login page.</t>
  </si>
  <si>
    <t>Error message shown: "Epic sadface: Sorry, this user has been locked out." Login was not allowed.</t>
  </si>
  <si>
    <t>Entered valid username (standard_user) with a wrong password. Error message shown: "Epic sadface: Username and password do not match any user in this service". User stayed on the login page. Note: the first and last lines of the error text are partly cut off</t>
  </si>
  <si>
    <t>Error message shown: "Epic sadface: Username and password do not match any user in this service". User stayed on the login page.Note: the first and last lines of the error text are partly cut off</t>
  </si>
  <si>
    <t>Error message shown: Epic sadface: Username and password do not match any user in this serviceLogin error message text is clipped inside the red error box</t>
  </si>
  <si>
    <t>Each Product shows image, name, description,price and add to cart button</t>
  </si>
  <si>
    <t>Details page opens name description and price match the list page</t>
  </si>
  <si>
    <t xml:space="preserve">Clicked on back to products User returns to the products page </t>
  </si>
  <si>
    <t xml:space="preserve">Products are in asending order </t>
  </si>
  <si>
    <t xml:space="preserve">Products are in decending order </t>
  </si>
  <si>
    <t>Products shows prices from lowest to highest price</t>
  </si>
  <si>
    <t>Products shows prices from highest to lowest</t>
  </si>
  <si>
    <t>Yes Added 3 products to cart and cart shows 3 product</t>
  </si>
  <si>
    <t>Yes Added one product to cart and cart shows one product</t>
  </si>
  <si>
    <t>Removed product from products page and cart badge decreased by 1 and button changed to add to cart</t>
  </si>
  <si>
    <t>Cart page showes correct product price and quatity</t>
  </si>
  <si>
    <t>Removed product from cart page and cart badge updates</t>
  </si>
  <si>
    <t>Cart keeps the products</t>
  </si>
  <si>
    <t>Error: First Name is required</t>
  </si>
  <si>
    <t>Error: Last Name is required</t>
  </si>
  <si>
    <t>Error: Postal Code is required</t>
  </si>
  <si>
    <t>Selected two products priced $29.99 and $9.99. Overview page showed Item total: $39.98, Tax: $3.20, Total: $43.18. Sum of item prices = $39.98 (matches Item total) and Item total + Tax = $43.18</t>
  </si>
  <si>
    <t>Order placed successfully with message thank you for your order and cart went empty</t>
  </si>
  <si>
    <t xml:space="preserve">User has been taken too login page </t>
  </si>
  <si>
    <t>Epic sadface: You can only access '/inventory.html' when you are logged in. Text cut down in red box</t>
  </si>
  <si>
    <t>Product page loaded in 3 seconds</t>
  </si>
  <si>
    <t>Entered STANDARD_USER (capital letters) with valid password. Login rejected with error "Epic sadface: Username and password do not match any user in this service". User stayed on the login page. Error text is partly clipped.</t>
  </si>
  <si>
    <t>BUG-001</t>
  </si>
  <si>
    <t>BUG-002</t>
  </si>
  <si>
    <t>BUG-003</t>
  </si>
  <si>
    <t>BUG-004</t>
  </si>
  <si>
    <t>Error message text is clipped in the red error box</t>
  </si>
  <si>
    <t>TC-03, 04, 08, 28, 29</t>
  </si>
  <si>
    <t>1. Open login page 2. Enter invalid credentials 3. Click Login 4. Look at the error box</t>
  </si>
  <si>
    <t>Full message is visible</t>
  </si>
  <si>
    <t>First and last lines of the text are cut off</t>
  </si>
  <si>
    <t>All products show the same image (problem_user)</t>
  </si>
  <si>
    <t>1. Login as problem_user 2. Look at the product images</t>
  </si>
  <si>
    <t>Each product shows its own image</t>
  </si>
  <si>
    <t>All products show the same image</t>
  </si>
  <si>
    <t>Checkout fields overwrite typed data (problem_user)</t>
  </si>
  <si>
    <t>1. Login as problem_user 2. Add a product, open checkout 3. Type First Name, Last Name, Postal Code 4. Click Continue</t>
  </si>
  <si>
    <t>Each field keeps what was typed and checkout continues</t>
  </si>
  <si>
    <t>Last Name text replaces First Name; cannot continue</t>
  </si>
  <si>
    <t>Page took about 5 seconds</t>
  </si>
  <si>
    <t>Products page loads within 3 seconds</t>
  </si>
  <si>
    <t>1. Login as performance_glitch_user 2. Note the time to reach the Products page</t>
  </si>
  <si>
    <t>Login is slow, takes more than 3 seconds (performance_glitch_user)</t>
  </si>
  <si>
    <t>32 test cases were executed on Sauce Demo (Chrome). 29 passed and 3 failed (pass rate 90.6%). 4 defects were logged. Core flows with standard_user (login, product listing and sorting, cart, checkout totals, order completion, logout) worked as expected. The failures were all with the special test accounts: problem_user showed the same image for every product (BUG-002) and the checkout form overwrote typed data so an order could not be completed (BUG-003, High severity); performance_glitch_user took about 6 seconds to log in against a 3 second limit (BUG-004). One low severity UI defect was also found: login error text is clipped in the red box (BUG-001). Recommendation: fix BUG-003 first because it blocks checkout, then retest all failed cases after the fixes.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</si>
</sst>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1"/>
      <color rgb="FF1F3A5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1F3A5F"/>
      <name val="Arial"/>
      <charset val="1"/>
    </font>
    <font>
      <b/>
      <sz val="10"/>
      <name val="Arial"/>
      <charset val="1"/>
    </font>
    <font>
      <sz val="10"/>
      <name val="Arial"/>
      <family val="2"/>
    </font>
    <font>
      <sz val="8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FF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0" xfId="0" applyFont="1"/>
    <xf numFmtId="0" fontId="6" fillId="0" borderId="0" xfId="0" applyFont="1"/>
    <xf numFmtId="0" fontId="4" fillId="0" borderId="0" xfId="0" applyFont="1"/>
    <xf numFmtId="0" fontId="4" fillId="3" borderId="0" xfId="0" applyFont="1" applyFill="1"/>
    <xf numFmtId="0" fontId="1" fillId="0" borderId="0" xfId="0" applyFont="1"/>
    <xf numFmtId="0" fontId="4" fillId="0" borderId="1" xfId="0" applyFont="1" applyBorder="1"/>
    <xf numFmtId="164" fontId="4" fillId="0" borderId="1" xfId="0" applyNumberFormat="1" applyFont="1" applyBorder="1"/>
    <xf numFmtId="0" fontId="4" fillId="3" borderId="2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4" fontId="4" fillId="4" borderId="1" xfId="0" applyNumberFormat="1" applyFont="1" applyFill="1" applyBorder="1" applyAlignment="1">
      <alignment vertical="top" wrapText="1"/>
    </xf>
    <xf numFmtId="0" fontId="0" fillId="4" borderId="0" xfId="0" applyFill="1"/>
    <xf numFmtId="0" fontId="4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zoomScaleNormal="100" workbookViewId="0"/>
  </sheetViews>
  <sheetFormatPr defaultColWidth="8.6328125" defaultRowHeight="14.5" x14ac:dyDescent="0.35"/>
  <cols>
    <col min="1" max="1" width="120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/>
    </row>
    <row r="4" spans="1:1" x14ac:dyDescent="0.35">
      <c r="A4" s="1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0" spans="1:1" x14ac:dyDescent="0.35">
      <c r="A10" s="2"/>
    </row>
    <row r="11" spans="1:1" x14ac:dyDescent="0.35">
      <c r="A11" s="1" t="s">
        <v>8</v>
      </c>
    </row>
    <row r="12" spans="1:1" ht="25" x14ac:dyDescent="0.35">
      <c r="A12" s="2" t="s">
        <v>9</v>
      </c>
    </row>
    <row r="13" spans="1:1" x14ac:dyDescent="0.35">
      <c r="A13" s="2" t="s">
        <v>10</v>
      </c>
    </row>
    <row r="14" spans="1:1" ht="25" x14ac:dyDescent="0.35">
      <c r="A14" s="2" t="s">
        <v>11</v>
      </c>
    </row>
    <row r="15" spans="1:1" x14ac:dyDescent="0.35">
      <c r="A15" s="2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opLeftCell="C1"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3" customWidth="1"/>
    <col min="2" max="2" width="15" customWidth="1"/>
    <col min="3" max="3" width="18" customWidth="1"/>
    <col min="4" max="4" width="70" customWidth="1"/>
  </cols>
  <sheetData>
    <row r="1" spans="1:4" x14ac:dyDescent="0.35">
      <c r="A1" s="3" t="s">
        <v>13</v>
      </c>
      <c r="B1" s="3" t="s">
        <v>14</v>
      </c>
      <c r="C1" s="3" t="s">
        <v>15</v>
      </c>
      <c r="D1" s="3" t="s">
        <v>16</v>
      </c>
    </row>
    <row r="2" spans="1:4" x14ac:dyDescent="0.35">
      <c r="A2" s="4" t="s">
        <v>17</v>
      </c>
      <c r="B2" s="4" t="s">
        <v>18</v>
      </c>
      <c r="C2" s="4" t="s">
        <v>19</v>
      </c>
      <c r="D2" s="4" t="s">
        <v>20</v>
      </c>
    </row>
    <row r="3" spans="1:4" x14ac:dyDescent="0.35">
      <c r="A3" s="4" t="s">
        <v>21</v>
      </c>
      <c r="B3" s="4" t="s">
        <v>18</v>
      </c>
      <c r="C3" s="4" t="s">
        <v>19</v>
      </c>
      <c r="D3" s="4" t="s">
        <v>22</v>
      </c>
    </row>
    <row r="4" spans="1:4" x14ac:dyDescent="0.35">
      <c r="A4" s="4" t="s">
        <v>23</v>
      </c>
      <c r="B4" s="4" t="s">
        <v>24</v>
      </c>
      <c r="C4" s="4" t="s">
        <v>25</v>
      </c>
      <c r="D4" s="4" t="s">
        <v>26</v>
      </c>
    </row>
    <row r="5" spans="1:4" x14ac:dyDescent="0.35">
      <c r="A5" s="4" t="s">
        <v>27</v>
      </c>
      <c r="B5" s="4" t="s">
        <v>24</v>
      </c>
      <c r="C5" s="4" t="s">
        <v>25</v>
      </c>
      <c r="D5" s="4" t="s">
        <v>28</v>
      </c>
    </row>
    <row r="6" spans="1:4" x14ac:dyDescent="0.35">
      <c r="A6" s="4" t="s">
        <v>29</v>
      </c>
      <c r="B6" s="4" t="s">
        <v>30</v>
      </c>
      <c r="C6" s="4" t="s">
        <v>31</v>
      </c>
      <c r="D6" s="4" t="s">
        <v>32</v>
      </c>
    </row>
    <row r="7" spans="1:4" x14ac:dyDescent="0.35">
      <c r="A7" s="4" t="s">
        <v>33</v>
      </c>
      <c r="B7" s="4" t="s">
        <v>30</v>
      </c>
      <c r="C7" s="4" t="s">
        <v>31</v>
      </c>
      <c r="D7" s="4" t="s">
        <v>34</v>
      </c>
    </row>
    <row r="8" spans="1:4" x14ac:dyDescent="0.35">
      <c r="A8" s="4" t="s">
        <v>35</v>
      </c>
      <c r="B8" s="4" t="s">
        <v>36</v>
      </c>
      <c r="C8" s="4" t="s">
        <v>37</v>
      </c>
      <c r="D8" s="4" t="s">
        <v>38</v>
      </c>
    </row>
    <row r="9" spans="1:4" x14ac:dyDescent="0.35">
      <c r="A9" s="4" t="s">
        <v>39</v>
      </c>
      <c r="B9" s="4" t="s">
        <v>36</v>
      </c>
      <c r="C9" s="4" t="s">
        <v>37</v>
      </c>
      <c r="D9" s="4" t="s">
        <v>40</v>
      </c>
    </row>
    <row r="10" spans="1:4" x14ac:dyDescent="0.35">
      <c r="A10" s="4" t="s">
        <v>41</v>
      </c>
      <c r="B10" s="4" t="s">
        <v>42</v>
      </c>
      <c r="C10" s="4" t="s">
        <v>43</v>
      </c>
      <c r="D10" s="4" t="s">
        <v>44</v>
      </c>
    </row>
    <row r="11" spans="1:4" x14ac:dyDescent="0.35">
      <c r="A11" s="4" t="s">
        <v>45</v>
      </c>
      <c r="B11" s="4" t="s">
        <v>42</v>
      </c>
      <c r="C11" s="4" t="s">
        <v>43</v>
      </c>
      <c r="D11" s="4" t="s">
        <v>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3"/>
  <sheetViews>
    <sheetView tabSelected="1" zoomScale="83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32" sqref="J32"/>
    </sheetView>
  </sheetViews>
  <sheetFormatPr defaultColWidth="8.6328125" defaultRowHeight="14.5" x14ac:dyDescent="0.35"/>
  <cols>
    <col min="1" max="1" width="8" customWidth="1"/>
    <col min="2" max="2" width="11" customWidth="1"/>
    <col min="3" max="3" width="16" customWidth="1"/>
    <col min="4" max="4" width="34" customWidth="1"/>
    <col min="5" max="5" width="9" customWidth="1"/>
    <col min="6" max="6" width="12" customWidth="1"/>
    <col min="7" max="7" width="24" customWidth="1"/>
    <col min="8" max="8" width="46" customWidth="1"/>
    <col min="9" max="9" width="26" customWidth="1"/>
    <col min="10" max="10" width="40" customWidth="1"/>
    <col min="11" max="11" width="32" customWidth="1"/>
    <col min="12" max="13" width="14" customWidth="1"/>
  </cols>
  <sheetData>
    <row r="1" spans="1:13" ht="26" x14ac:dyDescent="0.35">
      <c r="A1" s="3" t="s">
        <v>47</v>
      </c>
      <c r="B1" s="3" t="s">
        <v>13</v>
      </c>
      <c r="C1" s="3" t="s">
        <v>15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  <c r="K1" s="3" t="s">
        <v>55</v>
      </c>
      <c r="L1" s="3" t="s">
        <v>56</v>
      </c>
      <c r="M1" s="3" t="s">
        <v>57</v>
      </c>
    </row>
    <row r="2" spans="1:13" ht="50" x14ac:dyDescent="0.35">
      <c r="A2" s="4" t="s">
        <v>58</v>
      </c>
      <c r="B2" s="4" t="s">
        <v>17</v>
      </c>
      <c r="C2" s="4" t="s">
        <v>19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63</v>
      </c>
      <c r="I2" s="4" t="s">
        <v>64</v>
      </c>
      <c r="J2" s="4" t="s">
        <v>65</v>
      </c>
      <c r="K2" s="5" t="s">
        <v>267</v>
      </c>
      <c r="L2" s="14" t="s">
        <v>263</v>
      </c>
      <c r="M2" s="5"/>
    </row>
    <row r="3" spans="1:13" ht="37.5" x14ac:dyDescent="0.35">
      <c r="A3" s="4" t="s">
        <v>66</v>
      </c>
      <c r="B3" s="4" t="s">
        <v>17</v>
      </c>
      <c r="C3" s="4" t="s">
        <v>19</v>
      </c>
      <c r="D3" s="4" t="s">
        <v>67</v>
      </c>
      <c r="E3" s="4" t="s">
        <v>68</v>
      </c>
      <c r="F3" s="4" t="s">
        <v>61</v>
      </c>
      <c r="G3" s="4" t="s">
        <v>62</v>
      </c>
      <c r="H3" s="4" t="s">
        <v>69</v>
      </c>
      <c r="I3" s="4" t="s">
        <v>64</v>
      </c>
      <c r="J3" s="4" t="s">
        <v>70</v>
      </c>
      <c r="K3" s="5" t="s">
        <v>268</v>
      </c>
      <c r="L3" s="14" t="s">
        <v>263</v>
      </c>
      <c r="M3" s="5"/>
    </row>
    <row r="4" spans="1:13" ht="100" x14ac:dyDescent="0.35">
      <c r="A4" s="4" t="s">
        <v>71</v>
      </c>
      <c r="B4" s="4" t="s">
        <v>21</v>
      </c>
      <c r="C4" s="4" t="s">
        <v>19</v>
      </c>
      <c r="D4" s="4" t="s">
        <v>72</v>
      </c>
      <c r="E4" s="4" t="s">
        <v>60</v>
      </c>
      <c r="F4" s="4" t="s">
        <v>73</v>
      </c>
      <c r="G4" s="4" t="s">
        <v>62</v>
      </c>
      <c r="H4" s="4" t="s">
        <v>74</v>
      </c>
      <c r="I4" s="4" t="s">
        <v>75</v>
      </c>
      <c r="J4" s="4" t="s">
        <v>76</v>
      </c>
      <c r="K4" s="13" t="s">
        <v>272</v>
      </c>
      <c r="L4" s="14" t="s">
        <v>263</v>
      </c>
      <c r="M4" s="5" t="s">
        <v>297</v>
      </c>
    </row>
    <row r="5" spans="1:13" ht="75" x14ac:dyDescent="0.35">
      <c r="A5" s="4" t="s">
        <v>77</v>
      </c>
      <c r="B5" s="4" t="s">
        <v>21</v>
      </c>
      <c r="C5" s="4" t="s">
        <v>19</v>
      </c>
      <c r="D5" s="4" t="s">
        <v>78</v>
      </c>
      <c r="E5" s="4" t="s">
        <v>60</v>
      </c>
      <c r="F5" s="4" t="s">
        <v>73</v>
      </c>
      <c r="G5" s="4" t="s">
        <v>62</v>
      </c>
      <c r="H5" s="4" t="s">
        <v>79</v>
      </c>
      <c r="I5" s="4" t="s">
        <v>80</v>
      </c>
      <c r="J5" s="4" t="s">
        <v>76</v>
      </c>
      <c r="K5" s="5" t="s">
        <v>273</v>
      </c>
      <c r="L5" s="14" t="s">
        <v>263</v>
      </c>
      <c r="M5" s="5" t="s">
        <v>297</v>
      </c>
    </row>
    <row r="6" spans="1:13" ht="37.5" x14ac:dyDescent="0.35">
      <c r="A6" s="4" t="s">
        <v>81</v>
      </c>
      <c r="B6" s="4" t="s">
        <v>21</v>
      </c>
      <c r="C6" s="4" t="s">
        <v>19</v>
      </c>
      <c r="D6" s="4" t="s">
        <v>82</v>
      </c>
      <c r="E6" s="4" t="s">
        <v>83</v>
      </c>
      <c r="F6" s="4" t="s">
        <v>73</v>
      </c>
      <c r="G6" s="4" t="s">
        <v>62</v>
      </c>
      <c r="H6" s="4" t="s">
        <v>84</v>
      </c>
      <c r="I6" s="4" t="s">
        <v>85</v>
      </c>
      <c r="J6" s="4" t="s">
        <v>86</v>
      </c>
      <c r="K6" s="5" t="s">
        <v>269</v>
      </c>
      <c r="L6" s="14" t="s">
        <v>263</v>
      </c>
      <c r="M6" s="5"/>
    </row>
    <row r="7" spans="1:13" ht="37.5" x14ac:dyDescent="0.35">
      <c r="A7" s="4" t="s">
        <v>87</v>
      </c>
      <c r="B7" s="4" t="s">
        <v>21</v>
      </c>
      <c r="C7" s="4" t="s">
        <v>19</v>
      </c>
      <c r="D7" s="4" t="s">
        <v>88</v>
      </c>
      <c r="E7" s="4" t="s">
        <v>83</v>
      </c>
      <c r="F7" s="4" t="s">
        <v>73</v>
      </c>
      <c r="G7" s="4" t="s">
        <v>62</v>
      </c>
      <c r="H7" s="4" t="s">
        <v>89</v>
      </c>
      <c r="I7" s="4" t="s">
        <v>90</v>
      </c>
      <c r="J7" s="4" t="s">
        <v>91</v>
      </c>
      <c r="K7" s="5" t="s">
        <v>270</v>
      </c>
      <c r="L7" s="14" t="s">
        <v>263</v>
      </c>
      <c r="M7" s="5"/>
    </row>
    <row r="8" spans="1:13" ht="37.5" x14ac:dyDescent="0.35">
      <c r="A8" s="4" t="s">
        <v>92</v>
      </c>
      <c r="B8" s="4" t="s">
        <v>21</v>
      </c>
      <c r="C8" s="4" t="s">
        <v>19</v>
      </c>
      <c r="D8" s="4" t="s">
        <v>93</v>
      </c>
      <c r="E8" s="4" t="s">
        <v>60</v>
      </c>
      <c r="F8" s="4" t="s">
        <v>73</v>
      </c>
      <c r="G8" s="4" t="s">
        <v>62</v>
      </c>
      <c r="H8" s="4" t="s">
        <v>94</v>
      </c>
      <c r="I8" s="4" t="s">
        <v>95</v>
      </c>
      <c r="J8" s="4" t="s">
        <v>96</v>
      </c>
      <c r="K8" s="5" t="s">
        <v>271</v>
      </c>
      <c r="L8" s="14" t="s">
        <v>263</v>
      </c>
      <c r="M8" s="5"/>
    </row>
    <row r="9" spans="1:13" ht="62.5" x14ac:dyDescent="0.35">
      <c r="A9" s="4" t="s">
        <v>97</v>
      </c>
      <c r="B9" s="4" t="s">
        <v>21</v>
      </c>
      <c r="C9" s="4" t="s">
        <v>19</v>
      </c>
      <c r="D9" s="4" t="s">
        <v>98</v>
      </c>
      <c r="E9" s="4" t="s">
        <v>68</v>
      </c>
      <c r="F9" s="4" t="s">
        <v>73</v>
      </c>
      <c r="G9" s="4" t="s">
        <v>62</v>
      </c>
      <c r="H9" s="4" t="s">
        <v>99</v>
      </c>
      <c r="I9" s="4" t="s">
        <v>100</v>
      </c>
      <c r="J9" s="15" t="s">
        <v>296</v>
      </c>
      <c r="K9" s="13" t="s">
        <v>274</v>
      </c>
      <c r="L9" s="14" t="s">
        <v>263</v>
      </c>
      <c r="M9" s="14" t="s">
        <v>297</v>
      </c>
    </row>
    <row r="10" spans="1:13" ht="37.5" x14ac:dyDescent="0.35">
      <c r="A10" s="4" t="s">
        <v>101</v>
      </c>
      <c r="B10" s="4" t="s">
        <v>23</v>
      </c>
      <c r="C10" s="4" t="s">
        <v>25</v>
      </c>
      <c r="D10" s="4" t="s">
        <v>102</v>
      </c>
      <c r="E10" s="4" t="s">
        <v>60</v>
      </c>
      <c r="F10" s="4" t="s">
        <v>103</v>
      </c>
      <c r="G10" s="4" t="s">
        <v>104</v>
      </c>
      <c r="H10" s="4" t="s">
        <v>105</v>
      </c>
      <c r="I10" s="4" t="s">
        <v>64</v>
      </c>
      <c r="J10" s="4" t="s">
        <v>106</v>
      </c>
      <c r="K10" s="5" t="s">
        <v>275</v>
      </c>
      <c r="L10" s="14" t="s">
        <v>263</v>
      </c>
      <c r="M10" s="5"/>
    </row>
    <row r="11" spans="1:13" ht="25" x14ac:dyDescent="0.35">
      <c r="A11" s="4" t="s">
        <v>107</v>
      </c>
      <c r="B11" s="4" t="s">
        <v>23</v>
      </c>
      <c r="C11" s="4" t="s">
        <v>25</v>
      </c>
      <c r="D11" s="4" t="s">
        <v>108</v>
      </c>
      <c r="E11" s="4" t="s">
        <v>83</v>
      </c>
      <c r="F11" s="4" t="s">
        <v>61</v>
      </c>
      <c r="G11" s="4" t="s">
        <v>104</v>
      </c>
      <c r="H11" s="4" t="s">
        <v>109</v>
      </c>
      <c r="I11" s="4" t="s">
        <v>64</v>
      </c>
      <c r="J11" s="4" t="s">
        <v>110</v>
      </c>
      <c r="K11" s="5" t="s">
        <v>276</v>
      </c>
      <c r="L11" s="14" t="s">
        <v>263</v>
      </c>
      <c r="M11" s="5"/>
    </row>
    <row r="12" spans="1:13" ht="25" x14ac:dyDescent="0.35">
      <c r="A12" s="4" t="s">
        <v>111</v>
      </c>
      <c r="B12" s="4" t="s">
        <v>23</v>
      </c>
      <c r="C12" s="4" t="s">
        <v>25</v>
      </c>
      <c r="D12" s="4" t="s">
        <v>112</v>
      </c>
      <c r="E12" s="4" t="s">
        <v>68</v>
      </c>
      <c r="F12" s="4" t="s">
        <v>61</v>
      </c>
      <c r="G12" s="4" t="s">
        <v>113</v>
      </c>
      <c r="H12" s="4" t="s">
        <v>114</v>
      </c>
      <c r="I12" s="4" t="s">
        <v>64</v>
      </c>
      <c r="J12" s="4" t="s">
        <v>115</v>
      </c>
      <c r="K12" s="5" t="s">
        <v>277</v>
      </c>
      <c r="L12" s="14" t="s">
        <v>263</v>
      </c>
      <c r="M12" s="5"/>
    </row>
    <row r="13" spans="1:13" ht="25" x14ac:dyDescent="0.35">
      <c r="A13" s="4" t="s">
        <v>116</v>
      </c>
      <c r="B13" s="4" t="s">
        <v>27</v>
      </c>
      <c r="C13" s="4" t="s">
        <v>25</v>
      </c>
      <c r="D13" s="4" t="s">
        <v>117</v>
      </c>
      <c r="E13" s="4" t="s">
        <v>83</v>
      </c>
      <c r="F13" s="4" t="s">
        <v>61</v>
      </c>
      <c r="G13" s="4" t="s">
        <v>104</v>
      </c>
      <c r="H13" s="4" t="s">
        <v>118</v>
      </c>
      <c r="I13" s="4" t="s">
        <v>64</v>
      </c>
      <c r="J13" s="4" t="s">
        <v>119</v>
      </c>
      <c r="K13" s="5" t="s">
        <v>278</v>
      </c>
      <c r="L13" s="14" t="s">
        <v>263</v>
      </c>
      <c r="M13" s="5"/>
    </row>
    <row r="14" spans="1:13" ht="25" x14ac:dyDescent="0.35">
      <c r="A14" s="4" t="s">
        <v>120</v>
      </c>
      <c r="B14" s="4" t="s">
        <v>27</v>
      </c>
      <c r="C14" s="4" t="s">
        <v>25</v>
      </c>
      <c r="D14" s="4" t="s">
        <v>121</v>
      </c>
      <c r="E14" s="4" t="s">
        <v>83</v>
      </c>
      <c r="F14" s="4" t="s">
        <v>61</v>
      </c>
      <c r="G14" s="4" t="s">
        <v>104</v>
      </c>
      <c r="H14" s="4" t="s">
        <v>122</v>
      </c>
      <c r="I14" s="4" t="s">
        <v>64</v>
      </c>
      <c r="J14" s="4" t="s">
        <v>123</v>
      </c>
      <c r="K14" s="5" t="s">
        <v>279</v>
      </c>
      <c r="L14" s="14" t="s">
        <v>263</v>
      </c>
      <c r="M14" s="5"/>
    </row>
    <row r="15" spans="1:13" ht="25" x14ac:dyDescent="0.35">
      <c r="A15" s="4" t="s">
        <v>124</v>
      </c>
      <c r="B15" s="4" t="s">
        <v>27</v>
      </c>
      <c r="C15" s="4" t="s">
        <v>25</v>
      </c>
      <c r="D15" s="4" t="s">
        <v>125</v>
      </c>
      <c r="E15" s="4" t="s">
        <v>83</v>
      </c>
      <c r="F15" s="4" t="s">
        <v>61</v>
      </c>
      <c r="G15" s="4" t="s">
        <v>104</v>
      </c>
      <c r="H15" s="4" t="s">
        <v>126</v>
      </c>
      <c r="I15" s="4" t="s">
        <v>64</v>
      </c>
      <c r="J15" s="4" t="s">
        <v>127</v>
      </c>
      <c r="K15" s="5" t="s">
        <v>280</v>
      </c>
      <c r="L15" s="14" t="s">
        <v>263</v>
      </c>
      <c r="M15" s="5"/>
    </row>
    <row r="16" spans="1:13" ht="25" x14ac:dyDescent="0.35">
      <c r="A16" s="4" t="s">
        <v>128</v>
      </c>
      <c r="B16" s="4" t="s">
        <v>27</v>
      </c>
      <c r="C16" s="4" t="s">
        <v>25</v>
      </c>
      <c r="D16" s="4" t="s">
        <v>129</v>
      </c>
      <c r="E16" s="4" t="s">
        <v>83</v>
      </c>
      <c r="F16" s="4" t="s">
        <v>61</v>
      </c>
      <c r="G16" s="4" t="s">
        <v>104</v>
      </c>
      <c r="H16" s="4" t="s">
        <v>130</v>
      </c>
      <c r="I16" s="4" t="s">
        <v>64</v>
      </c>
      <c r="J16" s="4" t="s">
        <v>131</v>
      </c>
      <c r="K16" s="5" t="s">
        <v>281</v>
      </c>
      <c r="L16" s="14" t="s">
        <v>263</v>
      </c>
      <c r="M16" s="5"/>
    </row>
    <row r="17" spans="1:13" ht="25" x14ac:dyDescent="0.35">
      <c r="A17" s="4" t="s">
        <v>132</v>
      </c>
      <c r="B17" s="4" t="s">
        <v>29</v>
      </c>
      <c r="C17" s="4" t="s">
        <v>31</v>
      </c>
      <c r="D17" s="4" t="s">
        <v>133</v>
      </c>
      <c r="E17" s="4" t="s">
        <v>60</v>
      </c>
      <c r="F17" s="4" t="s">
        <v>61</v>
      </c>
      <c r="G17" s="4" t="s">
        <v>104</v>
      </c>
      <c r="H17" s="4" t="s">
        <v>134</v>
      </c>
      <c r="I17" s="4" t="s">
        <v>64</v>
      </c>
      <c r="J17" s="4" t="s">
        <v>135</v>
      </c>
      <c r="K17" s="5" t="s">
        <v>283</v>
      </c>
      <c r="L17" s="14" t="s">
        <v>263</v>
      </c>
      <c r="M17" s="5"/>
    </row>
    <row r="18" spans="1:13" ht="25" x14ac:dyDescent="0.35">
      <c r="A18" s="4" t="s">
        <v>136</v>
      </c>
      <c r="B18" s="4" t="s">
        <v>29</v>
      </c>
      <c r="C18" s="4" t="s">
        <v>31</v>
      </c>
      <c r="D18" s="4" t="s">
        <v>137</v>
      </c>
      <c r="E18" s="4" t="s">
        <v>60</v>
      </c>
      <c r="F18" s="4" t="s">
        <v>61</v>
      </c>
      <c r="G18" s="4" t="s">
        <v>104</v>
      </c>
      <c r="H18" s="4" t="s">
        <v>138</v>
      </c>
      <c r="I18" s="4" t="s">
        <v>64</v>
      </c>
      <c r="J18" s="4" t="s">
        <v>139</v>
      </c>
      <c r="K18" s="5" t="s">
        <v>282</v>
      </c>
      <c r="L18" s="14" t="s">
        <v>263</v>
      </c>
      <c r="M18" s="5"/>
    </row>
    <row r="19" spans="1:13" ht="37.5" x14ac:dyDescent="0.35">
      <c r="A19" s="4" t="s">
        <v>140</v>
      </c>
      <c r="B19" s="4" t="s">
        <v>29</v>
      </c>
      <c r="C19" s="4" t="s">
        <v>31</v>
      </c>
      <c r="D19" s="4" t="s">
        <v>141</v>
      </c>
      <c r="E19" s="4" t="s">
        <v>83</v>
      </c>
      <c r="F19" s="4" t="s">
        <v>61</v>
      </c>
      <c r="G19" s="4" t="s">
        <v>142</v>
      </c>
      <c r="H19" s="4" t="s">
        <v>143</v>
      </c>
      <c r="I19" s="4" t="s">
        <v>64</v>
      </c>
      <c r="J19" s="4" t="s">
        <v>144</v>
      </c>
      <c r="K19" s="5" t="s">
        <v>284</v>
      </c>
      <c r="L19" s="14" t="s">
        <v>263</v>
      </c>
      <c r="M19" s="5"/>
    </row>
    <row r="20" spans="1:13" ht="25" x14ac:dyDescent="0.35">
      <c r="A20" s="4" t="s">
        <v>145</v>
      </c>
      <c r="B20" s="4" t="s">
        <v>33</v>
      </c>
      <c r="C20" s="4" t="s">
        <v>31</v>
      </c>
      <c r="D20" s="4" t="s">
        <v>146</v>
      </c>
      <c r="E20" s="4" t="s">
        <v>60</v>
      </c>
      <c r="F20" s="4" t="s">
        <v>61</v>
      </c>
      <c r="G20" s="4" t="s">
        <v>142</v>
      </c>
      <c r="H20" s="4" t="s">
        <v>147</v>
      </c>
      <c r="I20" s="4" t="s">
        <v>64</v>
      </c>
      <c r="J20" s="4" t="s">
        <v>148</v>
      </c>
      <c r="K20" s="5" t="s">
        <v>285</v>
      </c>
      <c r="L20" s="14" t="s">
        <v>263</v>
      </c>
      <c r="M20" s="5"/>
    </row>
    <row r="21" spans="1:13" ht="25" x14ac:dyDescent="0.35">
      <c r="A21" s="4" t="s">
        <v>149</v>
      </c>
      <c r="B21" s="4" t="s">
        <v>33</v>
      </c>
      <c r="C21" s="4" t="s">
        <v>31</v>
      </c>
      <c r="D21" s="4" t="s">
        <v>150</v>
      </c>
      <c r="E21" s="4" t="s">
        <v>83</v>
      </c>
      <c r="F21" s="4" t="s">
        <v>61</v>
      </c>
      <c r="G21" s="4" t="s">
        <v>151</v>
      </c>
      <c r="H21" s="4" t="s">
        <v>152</v>
      </c>
      <c r="I21" s="4" t="s">
        <v>64</v>
      </c>
      <c r="J21" s="4" t="s">
        <v>153</v>
      </c>
      <c r="K21" s="5" t="s">
        <v>286</v>
      </c>
      <c r="L21" s="14" t="s">
        <v>263</v>
      </c>
      <c r="M21" s="5"/>
    </row>
    <row r="22" spans="1:13" ht="25" x14ac:dyDescent="0.35">
      <c r="A22" s="4" t="s">
        <v>154</v>
      </c>
      <c r="B22" s="4" t="s">
        <v>33</v>
      </c>
      <c r="C22" s="4" t="s">
        <v>31</v>
      </c>
      <c r="D22" s="4" t="s">
        <v>155</v>
      </c>
      <c r="E22" s="4" t="s">
        <v>83</v>
      </c>
      <c r="F22" s="4" t="s">
        <v>61</v>
      </c>
      <c r="G22" s="4" t="s">
        <v>151</v>
      </c>
      <c r="H22" s="4" t="s">
        <v>156</v>
      </c>
      <c r="I22" s="4" t="s">
        <v>64</v>
      </c>
      <c r="J22" s="4" t="s">
        <v>157</v>
      </c>
      <c r="K22" s="5" t="s">
        <v>287</v>
      </c>
      <c r="L22" s="14" t="s">
        <v>263</v>
      </c>
      <c r="M22" s="5"/>
    </row>
    <row r="23" spans="1:13" ht="37.5" x14ac:dyDescent="0.35">
      <c r="A23" s="4" t="s">
        <v>158</v>
      </c>
      <c r="B23" s="4" t="s">
        <v>35</v>
      </c>
      <c r="C23" s="4" t="s">
        <v>37</v>
      </c>
      <c r="D23" s="4" t="s">
        <v>159</v>
      </c>
      <c r="E23" s="4" t="s">
        <v>60</v>
      </c>
      <c r="F23" s="4" t="s">
        <v>73</v>
      </c>
      <c r="G23" s="4" t="s">
        <v>160</v>
      </c>
      <c r="H23" s="4" t="s">
        <v>161</v>
      </c>
      <c r="I23" s="4" t="s">
        <v>162</v>
      </c>
      <c r="J23" s="4" t="s">
        <v>163</v>
      </c>
      <c r="K23" s="14" t="s">
        <v>288</v>
      </c>
      <c r="L23" s="14" t="s">
        <v>263</v>
      </c>
      <c r="M23" s="5"/>
    </row>
    <row r="24" spans="1:13" ht="37.5" x14ac:dyDescent="0.35">
      <c r="A24" s="4" t="s">
        <v>164</v>
      </c>
      <c r="B24" s="4" t="s">
        <v>35</v>
      </c>
      <c r="C24" s="4" t="s">
        <v>37</v>
      </c>
      <c r="D24" s="4" t="s">
        <v>165</v>
      </c>
      <c r="E24" s="4" t="s">
        <v>60</v>
      </c>
      <c r="F24" s="4" t="s">
        <v>73</v>
      </c>
      <c r="G24" s="4" t="s">
        <v>160</v>
      </c>
      <c r="H24" s="4" t="s">
        <v>166</v>
      </c>
      <c r="I24" s="4" t="s">
        <v>167</v>
      </c>
      <c r="J24" s="4" t="s">
        <v>168</v>
      </c>
      <c r="K24" s="14" t="s">
        <v>289</v>
      </c>
      <c r="L24" s="14" t="s">
        <v>263</v>
      </c>
      <c r="M24" s="5"/>
    </row>
    <row r="25" spans="1:13" ht="37.5" x14ac:dyDescent="0.35">
      <c r="A25" s="4" t="s">
        <v>169</v>
      </c>
      <c r="B25" s="4" t="s">
        <v>35</v>
      </c>
      <c r="C25" s="4" t="s">
        <v>37</v>
      </c>
      <c r="D25" s="4" t="s">
        <v>170</v>
      </c>
      <c r="E25" s="4" t="s">
        <v>60</v>
      </c>
      <c r="F25" s="4" t="s">
        <v>73</v>
      </c>
      <c r="G25" s="4" t="s">
        <v>160</v>
      </c>
      <c r="H25" s="4" t="s">
        <v>171</v>
      </c>
      <c r="I25" s="4" t="s">
        <v>172</v>
      </c>
      <c r="J25" s="4" t="s">
        <v>173</v>
      </c>
      <c r="K25" s="14" t="s">
        <v>290</v>
      </c>
      <c r="L25" s="14" t="s">
        <v>263</v>
      </c>
      <c r="M25" s="5"/>
    </row>
    <row r="26" spans="1:13" ht="75" x14ac:dyDescent="0.35">
      <c r="A26" s="4" t="s">
        <v>174</v>
      </c>
      <c r="B26" s="4" t="s">
        <v>39</v>
      </c>
      <c r="C26" s="4" t="s">
        <v>37</v>
      </c>
      <c r="D26" s="4" t="s">
        <v>175</v>
      </c>
      <c r="E26" s="4" t="s">
        <v>60</v>
      </c>
      <c r="F26" s="4" t="s">
        <v>61</v>
      </c>
      <c r="G26" s="4" t="s">
        <v>176</v>
      </c>
      <c r="H26" s="4" t="s">
        <v>177</v>
      </c>
      <c r="I26" s="4" t="s">
        <v>178</v>
      </c>
      <c r="J26" s="4" t="s">
        <v>179</v>
      </c>
      <c r="K26" s="14" t="s">
        <v>291</v>
      </c>
      <c r="L26" s="14" t="s">
        <v>263</v>
      </c>
      <c r="M26" s="5"/>
    </row>
    <row r="27" spans="1:13" ht="37.5" x14ac:dyDescent="0.35">
      <c r="A27" s="4" t="s">
        <v>180</v>
      </c>
      <c r="B27" s="4" t="s">
        <v>39</v>
      </c>
      <c r="C27" s="4" t="s">
        <v>37</v>
      </c>
      <c r="D27" s="4" t="s">
        <v>181</v>
      </c>
      <c r="E27" s="4" t="s">
        <v>60</v>
      </c>
      <c r="F27" s="4" t="s">
        <v>61</v>
      </c>
      <c r="G27" s="4" t="s">
        <v>182</v>
      </c>
      <c r="H27" s="4" t="s">
        <v>183</v>
      </c>
      <c r="I27" s="4" t="s">
        <v>184</v>
      </c>
      <c r="J27" s="4" t="s">
        <v>185</v>
      </c>
      <c r="K27" s="14" t="s">
        <v>292</v>
      </c>
      <c r="L27" s="14" t="s">
        <v>263</v>
      </c>
      <c r="M27" s="5"/>
    </row>
    <row r="28" spans="1:13" ht="25" x14ac:dyDescent="0.35">
      <c r="A28" s="4" t="s">
        <v>186</v>
      </c>
      <c r="B28" s="4" t="s">
        <v>41</v>
      </c>
      <c r="C28" s="4" t="s">
        <v>43</v>
      </c>
      <c r="D28" s="4" t="s">
        <v>187</v>
      </c>
      <c r="E28" s="4" t="s">
        <v>60</v>
      </c>
      <c r="F28" s="4" t="s">
        <v>61</v>
      </c>
      <c r="G28" s="4" t="s">
        <v>104</v>
      </c>
      <c r="H28" s="4" t="s">
        <v>188</v>
      </c>
      <c r="I28" s="4" t="s">
        <v>64</v>
      </c>
      <c r="J28" s="4" t="s">
        <v>189</v>
      </c>
      <c r="K28" s="14" t="s">
        <v>293</v>
      </c>
      <c r="L28" s="14" t="s">
        <v>263</v>
      </c>
      <c r="M28" s="5"/>
    </row>
    <row r="29" spans="1:13" ht="37.5" x14ac:dyDescent="0.35">
      <c r="A29" s="4" t="s">
        <v>190</v>
      </c>
      <c r="B29" s="4" t="s">
        <v>41</v>
      </c>
      <c r="C29" s="4" t="s">
        <v>43</v>
      </c>
      <c r="D29" s="4" t="s">
        <v>191</v>
      </c>
      <c r="E29" s="4" t="s">
        <v>83</v>
      </c>
      <c r="F29" s="4" t="s">
        <v>192</v>
      </c>
      <c r="G29" s="4" t="s">
        <v>193</v>
      </c>
      <c r="H29" s="4" t="s">
        <v>194</v>
      </c>
      <c r="I29" s="4" t="s">
        <v>64</v>
      </c>
      <c r="J29" s="4" t="s">
        <v>195</v>
      </c>
      <c r="K29" s="14" t="s">
        <v>294</v>
      </c>
      <c r="L29" s="14" t="s">
        <v>263</v>
      </c>
      <c r="M29" s="14" t="s">
        <v>297</v>
      </c>
    </row>
    <row r="30" spans="1:13" ht="37.5" x14ac:dyDescent="0.35">
      <c r="A30" s="4" t="s">
        <v>196</v>
      </c>
      <c r="B30" s="4" t="s">
        <v>45</v>
      </c>
      <c r="C30" s="4" t="s">
        <v>43</v>
      </c>
      <c r="D30" s="4" t="s">
        <v>197</v>
      </c>
      <c r="E30" s="4" t="s">
        <v>60</v>
      </c>
      <c r="F30" s="4" t="s">
        <v>192</v>
      </c>
      <c r="G30" s="4" t="s">
        <v>198</v>
      </c>
      <c r="H30" s="4" t="s">
        <v>199</v>
      </c>
      <c r="I30" s="4" t="s">
        <v>200</v>
      </c>
      <c r="J30" s="4" t="s">
        <v>201</v>
      </c>
      <c r="K30" s="14" t="s">
        <v>294</v>
      </c>
      <c r="L30" s="14" t="s">
        <v>263</v>
      </c>
      <c r="M30" s="14" t="s">
        <v>297</v>
      </c>
    </row>
    <row r="31" spans="1:13" ht="37.5" x14ac:dyDescent="0.35">
      <c r="A31" s="4" t="s">
        <v>202</v>
      </c>
      <c r="B31" s="4" t="s">
        <v>23</v>
      </c>
      <c r="C31" s="4" t="s">
        <v>25</v>
      </c>
      <c r="D31" s="4" t="s">
        <v>203</v>
      </c>
      <c r="E31" s="4" t="s">
        <v>60</v>
      </c>
      <c r="F31" s="4" t="s">
        <v>103</v>
      </c>
      <c r="G31" s="4" t="s">
        <v>62</v>
      </c>
      <c r="H31" s="4" t="s">
        <v>204</v>
      </c>
      <c r="I31" s="4" t="s">
        <v>205</v>
      </c>
      <c r="J31" s="4" t="s">
        <v>206</v>
      </c>
      <c r="K31" s="5" t="s">
        <v>265</v>
      </c>
      <c r="L31" s="14" t="s">
        <v>264</v>
      </c>
      <c r="M31" s="14" t="s">
        <v>298</v>
      </c>
    </row>
    <row r="32" spans="1:13" ht="37.5" x14ac:dyDescent="0.35">
      <c r="A32" s="4" t="s">
        <v>207</v>
      </c>
      <c r="B32" s="4" t="s">
        <v>35</v>
      </c>
      <c r="C32" s="4" t="s">
        <v>37</v>
      </c>
      <c r="D32" s="4" t="s">
        <v>208</v>
      </c>
      <c r="E32" s="4" t="s">
        <v>60</v>
      </c>
      <c r="F32" s="4" t="s">
        <v>61</v>
      </c>
      <c r="G32" s="4" t="s">
        <v>209</v>
      </c>
      <c r="H32" s="4" t="s">
        <v>210</v>
      </c>
      <c r="I32" s="4" t="s">
        <v>205</v>
      </c>
      <c r="J32" s="4" t="s">
        <v>211</v>
      </c>
      <c r="K32" s="5" t="s">
        <v>266</v>
      </c>
      <c r="L32" s="14" t="s">
        <v>264</v>
      </c>
      <c r="M32" s="14" t="s">
        <v>299</v>
      </c>
    </row>
    <row r="33" spans="1:13" ht="25" x14ac:dyDescent="0.35">
      <c r="A33" s="4" t="s">
        <v>212</v>
      </c>
      <c r="B33" s="4" t="s">
        <v>17</v>
      </c>
      <c r="C33" s="4" t="s">
        <v>19</v>
      </c>
      <c r="D33" s="4" t="s">
        <v>213</v>
      </c>
      <c r="E33" s="4" t="s">
        <v>68</v>
      </c>
      <c r="F33" s="4" t="s">
        <v>214</v>
      </c>
      <c r="G33" s="4" t="s">
        <v>62</v>
      </c>
      <c r="H33" s="4" t="s">
        <v>215</v>
      </c>
      <c r="I33" s="4" t="s">
        <v>216</v>
      </c>
      <c r="J33" s="4" t="s">
        <v>217</v>
      </c>
      <c r="K33" s="14" t="s">
        <v>295</v>
      </c>
      <c r="L33" s="14" t="s">
        <v>264</v>
      </c>
      <c r="M33" s="14" t="s">
        <v>300</v>
      </c>
    </row>
  </sheetData>
  <phoneticPr fontId="8" type="noConversion"/>
  <dataValidations count="1">
    <dataValidation type="list" allowBlank="1" sqref="L2:L53" xr:uid="{00000000-0002-0000-0200-000000000000}">
      <formula1>"Pass,Fail,Blocked,Not Run"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9"/>
  <sheetViews>
    <sheetView zoomScale="157" zoomScaleNormal="100" workbookViewId="0">
      <pane ySplit="1" topLeftCell="A2" activePane="bottomLeft" state="frozen"/>
      <selection pane="bottomLeft" activeCell="K7" sqref="K7"/>
    </sheetView>
  </sheetViews>
  <sheetFormatPr defaultColWidth="8.6328125" defaultRowHeight="14.5" x14ac:dyDescent="0.35"/>
  <cols>
    <col min="1" max="1" width="12" customWidth="1"/>
    <col min="2" max="2" width="34" customWidth="1"/>
    <col min="3" max="3" width="14" customWidth="1"/>
    <col min="4" max="4" width="11" customWidth="1"/>
    <col min="5" max="5" width="44" customWidth="1"/>
    <col min="6" max="7" width="32" customWidth="1"/>
    <col min="8" max="8" width="11" customWidth="1"/>
    <col min="9" max="9" width="10" customWidth="1"/>
    <col min="10" max="10" width="11" customWidth="1"/>
    <col min="11" max="11" width="22" customWidth="1"/>
    <col min="12" max="12" width="13" customWidth="1"/>
    <col min="13" max="13" width="20" customWidth="1"/>
  </cols>
  <sheetData>
    <row r="1" spans="1:13" ht="26" x14ac:dyDescent="0.35">
      <c r="A1" s="3" t="s">
        <v>218</v>
      </c>
      <c r="B1" s="3" t="s">
        <v>219</v>
      </c>
      <c r="C1" s="3" t="s">
        <v>15</v>
      </c>
      <c r="D1" s="3" t="s">
        <v>220</v>
      </c>
      <c r="E1" s="3" t="s">
        <v>221</v>
      </c>
      <c r="F1" s="3" t="s">
        <v>54</v>
      </c>
      <c r="G1" s="3" t="s">
        <v>222</v>
      </c>
      <c r="H1" s="3" t="s">
        <v>223</v>
      </c>
      <c r="I1" s="3" t="s">
        <v>49</v>
      </c>
      <c r="J1" s="3" t="s">
        <v>224</v>
      </c>
      <c r="K1" s="3" t="s">
        <v>225</v>
      </c>
      <c r="L1" s="3" t="s">
        <v>226</v>
      </c>
      <c r="M1" s="3" t="s">
        <v>227</v>
      </c>
    </row>
    <row r="2" spans="1:13" ht="25" x14ac:dyDescent="0.35">
      <c r="A2" s="16" t="s">
        <v>297</v>
      </c>
      <c r="B2" s="16" t="s">
        <v>301</v>
      </c>
      <c r="C2" s="17" t="s">
        <v>19</v>
      </c>
      <c r="D2" s="16" t="s">
        <v>302</v>
      </c>
      <c r="E2" s="16" t="s">
        <v>303</v>
      </c>
      <c r="F2" s="16" t="s">
        <v>304</v>
      </c>
      <c r="G2" s="16" t="s">
        <v>305</v>
      </c>
      <c r="H2" s="17" t="s">
        <v>68</v>
      </c>
      <c r="I2" s="17" t="s">
        <v>68</v>
      </c>
      <c r="J2" s="17" t="s">
        <v>228</v>
      </c>
      <c r="K2" s="17" t="s">
        <v>229</v>
      </c>
      <c r="L2" s="18">
        <v>46297</v>
      </c>
      <c r="M2" s="16" t="s">
        <v>297</v>
      </c>
    </row>
    <row r="3" spans="1:13" x14ac:dyDescent="0.35">
      <c r="A3" s="19" t="s">
        <v>298</v>
      </c>
      <c r="B3" s="19" t="s">
        <v>306</v>
      </c>
      <c r="C3" s="19" t="s">
        <v>25</v>
      </c>
      <c r="D3" s="19" t="s">
        <v>202</v>
      </c>
      <c r="E3" s="19" t="s">
        <v>307</v>
      </c>
      <c r="F3" s="19" t="s">
        <v>308</v>
      </c>
      <c r="G3" s="19" t="s">
        <v>309</v>
      </c>
      <c r="H3" s="19" t="s">
        <v>83</v>
      </c>
      <c r="I3" s="19" t="s">
        <v>83</v>
      </c>
      <c r="J3" s="17" t="s">
        <v>228</v>
      </c>
      <c r="K3" s="17" t="s">
        <v>229</v>
      </c>
      <c r="L3" s="18">
        <v>46297</v>
      </c>
      <c r="M3" s="20" t="s">
        <v>298</v>
      </c>
    </row>
    <row r="4" spans="1:13" ht="37.5" x14ac:dyDescent="0.35">
      <c r="A4" s="19" t="s">
        <v>299</v>
      </c>
      <c r="B4" s="19" t="s">
        <v>310</v>
      </c>
      <c r="C4" s="19" t="s">
        <v>37</v>
      </c>
      <c r="D4" s="19" t="s">
        <v>207</v>
      </c>
      <c r="E4" s="21" t="s">
        <v>311</v>
      </c>
      <c r="F4" s="21" t="s">
        <v>312</v>
      </c>
      <c r="G4" s="21" t="s">
        <v>313</v>
      </c>
      <c r="H4" s="19" t="s">
        <v>60</v>
      </c>
      <c r="I4" s="19" t="s">
        <v>60</v>
      </c>
      <c r="J4" s="17" t="s">
        <v>228</v>
      </c>
      <c r="K4" s="17" t="s">
        <v>229</v>
      </c>
      <c r="L4" s="18">
        <v>46297</v>
      </c>
      <c r="M4" s="20" t="s">
        <v>299</v>
      </c>
    </row>
    <row r="5" spans="1:13" ht="25" x14ac:dyDescent="0.35">
      <c r="A5" s="21" t="s">
        <v>300</v>
      </c>
      <c r="B5" s="21" t="s">
        <v>317</v>
      </c>
      <c r="C5" s="21" t="s">
        <v>19</v>
      </c>
      <c r="D5" s="21" t="s">
        <v>212</v>
      </c>
      <c r="E5" s="21" t="s">
        <v>316</v>
      </c>
      <c r="F5" s="21" t="s">
        <v>315</v>
      </c>
      <c r="G5" s="21" t="s">
        <v>314</v>
      </c>
      <c r="H5" s="21" t="s">
        <v>83</v>
      </c>
      <c r="I5" s="21" t="s">
        <v>68</v>
      </c>
      <c r="J5" s="17" t="s">
        <v>228</v>
      </c>
      <c r="K5" s="17" t="s">
        <v>229</v>
      </c>
      <c r="L5" s="18">
        <v>46297</v>
      </c>
      <c r="M5" s="20" t="s">
        <v>300</v>
      </c>
    </row>
    <row r="6" spans="1:13" x14ac:dyDescent="0.3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</row>
    <row r="19" spans="1:1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</row>
    <row r="20" spans="1:1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22" spans="1:1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</row>
    <row r="24" spans="1:1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</row>
    <row r="25" spans="1:1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</row>
    <row r="26" spans="1:1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</row>
    <row r="52" spans="1:1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</row>
    <row r="53" spans="1:1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</row>
    <row r="54" spans="1:1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</row>
    <row r="55" spans="1:1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</row>
    <row r="56" spans="1:1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</row>
    <row r="57" spans="1:1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</row>
    <row r="58" spans="1:1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</row>
    <row r="59" spans="1:1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</row>
  </sheetData>
  <dataValidations count="2">
    <dataValidation type="list" allowBlank="1" sqref="H2:I2 H5:I59" xr:uid="{00000000-0002-0000-0300-000000000000}">
      <formula1>"Critical,High,Medium,Low"</formula1>
      <formula2>0</formula2>
    </dataValidation>
    <dataValidation type="list" allowBlank="1" sqref="J2:J59" xr:uid="{00000000-0002-0000-0300-000001000000}">
      <formula1>"New,Open,Fixed,Retest,Closed,Reopened"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zoomScaleNormal="100" workbookViewId="0">
      <pane ySplit="1" topLeftCell="A2" activePane="bottomLeft" state="frozen"/>
      <selection pane="bottomLeft" activeCell="B12" sqref="B12"/>
    </sheetView>
  </sheetViews>
  <sheetFormatPr defaultColWidth="8.6328125" defaultRowHeight="14.5" x14ac:dyDescent="0.35"/>
  <cols>
    <col min="1" max="1" width="15" customWidth="1"/>
    <col min="2" max="2" width="52" customWidth="1"/>
    <col min="3" max="3" width="18" customWidth="1"/>
    <col min="4" max="4" width="16" customWidth="1"/>
    <col min="5" max="5" width="15" customWidth="1"/>
    <col min="6" max="7" width="10" customWidth="1"/>
    <col min="8" max="8" width="14" customWidth="1"/>
  </cols>
  <sheetData>
    <row r="1" spans="1:8" ht="26" x14ac:dyDescent="0.35">
      <c r="A1" s="3" t="s">
        <v>14</v>
      </c>
      <c r="B1" s="3" t="s">
        <v>230</v>
      </c>
      <c r="C1" s="3" t="s">
        <v>15</v>
      </c>
      <c r="D1" s="3" t="s">
        <v>231</v>
      </c>
      <c r="E1" s="3" t="s">
        <v>232</v>
      </c>
      <c r="F1" s="3" t="s">
        <v>233</v>
      </c>
      <c r="G1" s="3" t="s">
        <v>234</v>
      </c>
      <c r="H1" s="3" t="s">
        <v>235</v>
      </c>
    </row>
    <row r="2" spans="1:8" ht="25" x14ac:dyDescent="0.35">
      <c r="A2" s="4" t="s">
        <v>18</v>
      </c>
      <c r="B2" s="4" t="s">
        <v>236</v>
      </c>
      <c r="C2" s="4" t="s">
        <v>19</v>
      </c>
      <c r="D2" s="4" t="s">
        <v>237</v>
      </c>
      <c r="E2" s="4">
        <f>COUNTIF('Test Cases'!$C$2:$C$53,C2)</f>
        <v>9</v>
      </c>
      <c r="F2" s="4">
        <f>COUNTIFS('Test Cases'!$C$2:$C$53,C2,'Test Cases'!$L$2:$L$53,"Pass")</f>
        <v>8</v>
      </c>
      <c r="G2" s="4">
        <f>COUNTIFS('Test Cases'!$C$2:$C$53,C2,'Test Cases'!$L$2:$L$53,"Fail")</f>
        <v>1</v>
      </c>
      <c r="H2" s="4" t="str">
        <f>IF(E2=0,"Not covered","Covered")</f>
        <v>Covered</v>
      </c>
    </row>
    <row r="3" spans="1:8" x14ac:dyDescent="0.35">
      <c r="A3" s="4" t="s">
        <v>24</v>
      </c>
      <c r="B3" s="4" t="s">
        <v>238</v>
      </c>
      <c r="C3" s="4" t="s">
        <v>25</v>
      </c>
      <c r="D3" s="4" t="s">
        <v>239</v>
      </c>
      <c r="E3" s="4">
        <f>COUNTIF('Test Cases'!$C$2:$C$53,C3)</f>
        <v>8</v>
      </c>
      <c r="F3" s="4">
        <f>COUNTIFS('Test Cases'!$C$2:$C$53,C3,'Test Cases'!$L$2:$L$53,"Pass")</f>
        <v>7</v>
      </c>
      <c r="G3" s="4">
        <f>COUNTIFS('Test Cases'!$C$2:$C$53,C3,'Test Cases'!$L$2:$L$53,"Fail")</f>
        <v>1</v>
      </c>
      <c r="H3" s="4" t="str">
        <f>IF(E3=0,"Not covered","Covered")</f>
        <v>Covered</v>
      </c>
    </row>
    <row r="4" spans="1:8" x14ac:dyDescent="0.35">
      <c r="A4" s="4" t="s">
        <v>30</v>
      </c>
      <c r="B4" s="4" t="s">
        <v>240</v>
      </c>
      <c r="C4" s="4" t="s">
        <v>31</v>
      </c>
      <c r="D4" s="4" t="s">
        <v>241</v>
      </c>
      <c r="E4" s="4">
        <f>COUNTIF('Test Cases'!$C$2:$C$53,C4)</f>
        <v>6</v>
      </c>
      <c r="F4" s="4">
        <f>COUNTIFS('Test Cases'!$C$2:$C$53,C4,'Test Cases'!$L$2:$L$53,"Pass")</f>
        <v>6</v>
      </c>
      <c r="G4" s="4">
        <f>COUNTIFS('Test Cases'!$C$2:$C$53,C4,'Test Cases'!$L$2:$L$53,"Fail")</f>
        <v>0</v>
      </c>
      <c r="H4" s="4" t="str">
        <f>IF(E4=0,"Not covered","Covered")</f>
        <v>Covered</v>
      </c>
    </row>
    <row r="5" spans="1:8" ht="25" x14ac:dyDescent="0.35">
      <c r="A5" s="4" t="s">
        <v>36</v>
      </c>
      <c r="B5" s="4" t="s">
        <v>242</v>
      </c>
      <c r="C5" s="4" t="s">
        <v>37</v>
      </c>
      <c r="D5" s="4" t="s">
        <v>243</v>
      </c>
      <c r="E5" s="4">
        <f>COUNTIF('Test Cases'!$C$2:$C$53,C5)</f>
        <v>6</v>
      </c>
      <c r="F5" s="4">
        <f>COUNTIFS('Test Cases'!$C$2:$C$53,C5,'Test Cases'!$L$2:$L$53,"Pass")</f>
        <v>5</v>
      </c>
      <c r="G5" s="4">
        <f>COUNTIFS('Test Cases'!$C$2:$C$53,C5,'Test Cases'!$L$2:$L$53,"Fail")</f>
        <v>1</v>
      </c>
      <c r="H5" s="4" t="str">
        <f>IF(E5=0,"Not covered","Covered")</f>
        <v>Covered</v>
      </c>
    </row>
    <row r="6" spans="1:8" ht="25" x14ac:dyDescent="0.35">
      <c r="A6" s="4" t="s">
        <v>42</v>
      </c>
      <c r="B6" s="4" t="s">
        <v>244</v>
      </c>
      <c r="C6" s="4" t="s">
        <v>43</v>
      </c>
      <c r="D6" s="4" t="s">
        <v>245</v>
      </c>
      <c r="E6" s="4">
        <f>COUNTIF('Test Cases'!$C$2:$C$53,C6)</f>
        <v>3</v>
      </c>
      <c r="F6" s="4">
        <f>COUNTIFS('Test Cases'!$C$2:$C$53,C6,'Test Cases'!$L$2:$L$53,"Pass")</f>
        <v>3</v>
      </c>
      <c r="G6" s="4">
        <f>COUNTIFS('Test Cases'!$C$2:$C$53,C6,'Test Cases'!$L$2:$L$53,"Fail")</f>
        <v>0</v>
      </c>
      <c r="H6" s="4" t="str">
        <f>IF(E6=0,"Not covered","Covered")</f>
        <v>Covered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topLeftCell="A18" zoomScaleNormal="100" workbookViewId="0">
      <selection activeCell="A28" sqref="A28:F31"/>
    </sheetView>
  </sheetViews>
  <sheetFormatPr defaultColWidth="8.6328125" defaultRowHeight="14.5" x14ac:dyDescent="0.35"/>
  <cols>
    <col min="1" max="1" width="30" customWidth="1"/>
    <col min="2" max="6" width="16" customWidth="1"/>
  </cols>
  <sheetData>
    <row r="1" spans="1:2" ht="16.5" x14ac:dyDescent="0.35">
      <c r="A1" s="6" t="s">
        <v>246</v>
      </c>
    </row>
    <row r="3" spans="1:2" x14ac:dyDescent="0.35">
      <c r="A3" s="7" t="s">
        <v>247</v>
      </c>
      <c r="B3" s="8" t="s">
        <v>248</v>
      </c>
    </row>
    <row r="4" spans="1:2" x14ac:dyDescent="0.35">
      <c r="A4" s="7" t="s">
        <v>249</v>
      </c>
      <c r="B4" s="8" t="s">
        <v>250</v>
      </c>
    </row>
    <row r="5" spans="1:2" x14ac:dyDescent="0.35">
      <c r="A5" s="7" t="s">
        <v>251</v>
      </c>
      <c r="B5" s="9"/>
    </row>
    <row r="6" spans="1:2" x14ac:dyDescent="0.35">
      <c r="A6" s="7" t="s">
        <v>252</v>
      </c>
      <c r="B6" s="9"/>
    </row>
    <row r="7" spans="1:2" x14ac:dyDescent="0.35">
      <c r="A7" s="7" t="s">
        <v>253</v>
      </c>
      <c r="B7" s="9"/>
    </row>
    <row r="9" spans="1:2" x14ac:dyDescent="0.35">
      <c r="A9" s="10" t="s">
        <v>254</v>
      </c>
    </row>
    <row r="10" spans="1:2" x14ac:dyDescent="0.35">
      <c r="A10" s="11" t="s">
        <v>255</v>
      </c>
      <c r="B10" s="11">
        <f>COUNTA('Test Cases'!$A$2:$A$53)</f>
        <v>32</v>
      </c>
    </row>
    <row r="11" spans="1:2" x14ac:dyDescent="0.35">
      <c r="A11" s="11" t="s">
        <v>233</v>
      </c>
      <c r="B11" s="11">
        <f>COUNTIF('Test Cases'!$L$2:$L$53,"Pass")</f>
        <v>29</v>
      </c>
    </row>
    <row r="12" spans="1:2" x14ac:dyDescent="0.35">
      <c r="A12" s="11" t="s">
        <v>234</v>
      </c>
      <c r="B12" s="11">
        <f>COUNTIF('Test Cases'!$L$2:$L$53,"Fail")</f>
        <v>3</v>
      </c>
    </row>
    <row r="13" spans="1:2" x14ac:dyDescent="0.35">
      <c r="A13" s="11" t="s">
        <v>256</v>
      </c>
      <c r="B13" s="11">
        <f>COUNTIF('Test Cases'!$L$2:$L$53,"Blocked")</f>
        <v>0</v>
      </c>
    </row>
    <row r="14" spans="1:2" x14ac:dyDescent="0.35">
      <c r="A14" s="11" t="s">
        <v>257</v>
      </c>
      <c r="B14" s="11">
        <f>B10-B11-B12-B13</f>
        <v>0</v>
      </c>
    </row>
    <row r="15" spans="1:2" x14ac:dyDescent="0.35">
      <c r="A15" s="11" t="s">
        <v>258</v>
      </c>
      <c r="B15" s="12">
        <f>IFERROR(B11/(B11+B12+B13),0)</f>
        <v>0.90625</v>
      </c>
    </row>
    <row r="16" spans="1:2" x14ac:dyDescent="0.35">
      <c r="A16" s="11" t="s">
        <v>259</v>
      </c>
      <c r="B16" s="11">
        <f>COUNTIF('Bug Report'!$A$2:$A$59,"BUG-*")</f>
        <v>4</v>
      </c>
    </row>
    <row r="19" spans="1:6" x14ac:dyDescent="0.35">
      <c r="A19" s="10" t="s">
        <v>260</v>
      </c>
    </row>
    <row r="20" spans="1:6" x14ac:dyDescent="0.35">
      <c r="A20" s="3" t="s">
        <v>15</v>
      </c>
      <c r="B20" s="3" t="s">
        <v>261</v>
      </c>
      <c r="C20" s="3" t="s">
        <v>233</v>
      </c>
      <c r="D20" s="3" t="s">
        <v>234</v>
      </c>
      <c r="E20" s="3" t="s">
        <v>256</v>
      </c>
      <c r="F20" s="3" t="s">
        <v>257</v>
      </c>
    </row>
    <row r="21" spans="1:6" x14ac:dyDescent="0.35">
      <c r="A21" s="4" t="s">
        <v>19</v>
      </c>
      <c r="B21" s="4">
        <f>COUNTIF('Test Cases'!$C$2:$C$53,A21)</f>
        <v>9</v>
      </c>
      <c r="C21" s="4">
        <f>COUNTIFS('Test Cases'!$C$2:$C$53,A21,'Test Cases'!$L$2:$L$53,"Pass")</f>
        <v>8</v>
      </c>
      <c r="D21" s="4">
        <f>COUNTIFS('Test Cases'!$C$2:$C$53,A21,'Test Cases'!$L$2:$L$53,"Fail")</f>
        <v>1</v>
      </c>
      <c r="E21" s="4">
        <f>COUNTIFS('Test Cases'!$C$2:$C$53,A21,'Test Cases'!$L$2:$L$53,"Blocked")</f>
        <v>0</v>
      </c>
      <c r="F21" s="4">
        <f>B21-C21-D21-E21</f>
        <v>0</v>
      </c>
    </row>
    <row r="22" spans="1:6" x14ac:dyDescent="0.35">
      <c r="A22" s="4" t="s">
        <v>25</v>
      </c>
      <c r="B22" s="4">
        <f>COUNTIF('Test Cases'!$C$2:$C$53,A22)</f>
        <v>8</v>
      </c>
      <c r="C22" s="4">
        <f>COUNTIFS('Test Cases'!$C$2:$C$53,A22,'Test Cases'!$L$2:$L$53,"Pass")</f>
        <v>7</v>
      </c>
      <c r="D22" s="4">
        <f>COUNTIFS('Test Cases'!$C$2:$C$53,A22,'Test Cases'!$L$2:$L$53,"Fail")</f>
        <v>1</v>
      </c>
      <c r="E22" s="4">
        <f>COUNTIFS('Test Cases'!$C$2:$C$53,A22,'Test Cases'!$L$2:$L$53,"Blocked")</f>
        <v>0</v>
      </c>
      <c r="F22" s="4">
        <f>B22-C22-D22-E22</f>
        <v>0</v>
      </c>
    </row>
    <row r="23" spans="1:6" x14ac:dyDescent="0.35">
      <c r="A23" s="4" t="s">
        <v>31</v>
      </c>
      <c r="B23" s="4">
        <f>COUNTIF('Test Cases'!$C$2:$C$53,A23)</f>
        <v>6</v>
      </c>
      <c r="C23" s="4">
        <f>COUNTIFS('Test Cases'!$C$2:$C$53,A23,'Test Cases'!$L$2:$L$53,"Pass")</f>
        <v>6</v>
      </c>
      <c r="D23" s="4">
        <f>COUNTIFS('Test Cases'!$C$2:$C$53,A23,'Test Cases'!$L$2:$L$53,"Fail")</f>
        <v>0</v>
      </c>
      <c r="E23" s="4">
        <f>COUNTIFS('Test Cases'!$C$2:$C$53,A23,'Test Cases'!$L$2:$L$53,"Blocked")</f>
        <v>0</v>
      </c>
      <c r="F23" s="4">
        <f>B23-C23-D23-E23</f>
        <v>0</v>
      </c>
    </row>
    <row r="24" spans="1:6" x14ac:dyDescent="0.35">
      <c r="A24" s="4" t="s">
        <v>37</v>
      </c>
      <c r="B24" s="4">
        <f>COUNTIF('Test Cases'!$C$2:$C$53,A24)</f>
        <v>6</v>
      </c>
      <c r="C24" s="4">
        <f>COUNTIFS('Test Cases'!$C$2:$C$53,A24,'Test Cases'!$L$2:$L$53,"Pass")</f>
        <v>5</v>
      </c>
      <c r="D24" s="4">
        <f>COUNTIFS('Test Cases'!$C$2:$C$53,A24,'Test Cases'!$L$2:$L$53,"Fail")</f>
        <v>1</v>
      </c>
      <c r="E24" s="4">
        <f>COUNTIFS('Test Cases'!$C$2:$C$53,A24,'Test Cases'!$L$2:$L$53,"Blocked")</f>
        <v>0</v>
      </c>
      <c r="F24" s="4">
        <f>B24-C24-D24-E24</f>
        <v>0</v>
      </c>
    </row>
    <row r="25" spans="1:6" x14ac:dyDescent="0.35">
      <c r="A25" s="4" t="s">
        <v>43</v>
      </c>
      <c r="B25" s="4">
        <f>COUNTIF('Test Cases'!$C$2:$C$53,A25)</f>
        <v>3</v>
      </c>
      <c r="C25" s="4">
        <f>COUNTIFS('Test Cases'!$C$2:$C$53,A25,'Test Cases'!$L$2:$L$53,"Pass")</f>
        <v>3</v>
      </c>
      <c r="D25" s="4">
        <f>COUNTIFS('Test Cases'!$C$2:$C$53,A25,'Test Cases'!$L$2:$L$53,"Fail")</f>
        <v>0</v>
      </c>
      <c r="E25" s="4">
        <f>COUNTIFS('Test Cases'!$C$2:$C$53,A25,'Test Cases'!$L$2:$L$53,"Blocked")</f>
        <v>0</v>
      </c>
      <c r="F25" s="4">
        <f>B25-C25-D25-E25</f>
        <v>0</v>
      </c>
    </row>
    <row r="27" spans="1:6" x14ac:dyDescent="0.35">
      <c r="A27" s="7" t="s">
        <v>262</v>
      </c>
    </row>
    <row r="28" spans="1:6" x14ac:dyDescent="0.35">
      <c r="A28" s="22" t="s">
        <v>318</v>
      </c>
      <c r="B28" s="22"/>
      <c r="C28" s="22"/>
      <c r="D28" s="22"/>
      <c r="E28" s="22"/>
      <c r="F28" s="22"/>
    </row>
    <row r="29" spans="1:6" x14ac:dyDescent="0.35">
      <c r="A29" s="22"/>
      <c r="B29" s="22"/>
      <c r="C29" s="22"/>
      <c r="D29" s="22"/>
      <c r="E29" s="22"/>
      <c r="F29" s="22"/>
    </row>
    <row r="30" spans="1:6" x14ac:dyDescent="0.35">
      <c r="A30" s="22"/>
      <c r="B30" s="22"/>
      <c r="C30" s="22"/>
      <c r="D30" s="22"/>
      <c r="E30" s="22"/>
      <c r="F30" s="22"/>
    </row>
    <row r="31" spans="1:6" ht="65.5" customHeight="1" x14ac:dyDescent="0.35">
      <c r="A31" s="22"/>
      <c r="B31" s="22"/>
      <c r="C31" s="22"/>
      <c r="D31" s="22"/>
      <c r="E31" s="22"/>
      <c r="F31" s="22"/>
    </row>
  </sheetData>
  <mergeCells count="1">
    <mergeCell ref="A28:F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Test Scenarios</vt:lpstr>
      <vt:lpstr>Test Cases</vt:lpstr>
      <vt:lpstr>Bug Report</vt:lpstr>
      <vt:lpstr>RTM</vt:lpstr>
      <vt:lpstr>Test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anushka dhole</cp:lastModifiedBy>
  <cp:revision>0</cp:revision>
  <dcterms:created xsi:type="dcterms:W3CDTF">2026-10-01T20:23:02Z</dcterms:created>
  <dcterms:modified xsi:type="dcterms:W3CDTF">2026-10-02T08:08:39Z</dcterms:modified>
  <dc:language>en-US</dc:language>
</cp:coreProperties>
</file>